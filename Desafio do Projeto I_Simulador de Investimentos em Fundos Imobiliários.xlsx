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\Desktop\003_CURSOS &amp; WORKSHOPS\SantanderOpenAcademy\Excel com I.A. e Claude_Bolsa Santander\2_TABELAS E ANÁLISE DE DADOS (6 Atividades)\Desafio do Projeto\"/>
    </mc:Choice>
  </mc:AlternateContent>
  <xr:revisionPtr revIDLastSave="0" documentId="13_ncr:1_{3F0817CE-307C-49C1-9B1B-2ACE15919D18}" xr6:coauthVersionLast="46" xr6:coauthVersionMax="46" xr10:uidLastSave="{00000000-0000-0000-0000-000000000000}"/>
  <bookViews>
    <workbookView xWindow="-120" yWindow="-120" windowWidth="21840" windowHeight="13140" tabRatio="0" xr2:uid="{FC96834D-B677-40C5-BAF1-D14BC0E5634C}"/>
  </bookViews>
  <sheets>
    <sheet name="Planilha1" sheetId="1" r:id="rId1"/>
    <sheet name="Tabela de Apoio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2" i="1"/>
  <c r="C36" i="1"/>
  <c r="C37" i="1"/>
  <c r="C38" i="1"/>
  <c r="C39" i="1"/>
  <c r="C40" i="1"/>
  <c r="C17" i="2"/>
  <c r="C18" i="2"/>
  <c r="C19" i="2"/>
  <c r="C20" i="2"/>
  <c r="C21" i="2"/>
  <c r="C22" i="2"/>
  <c r="C12" i="2"/>
  <c r="C13" i="2"/>
  <c r="C14" i="2"/>
  <c r="C15" i="2"/>
  <c r="C16" i="2"/>
  <c r="C11" i="2"/>
  <c r="C6" i="2"/>
  <c r="C7" i="2"/>
  <c r="C8" i="2"/>
  <c r="C9" i="2"/>
  <c r="C10" i="2"/>
  <c r="C5" i="2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D35" i="1" l="1"/>
  <c r="D37" i="1"/>
  <c r="D38" i="1"/>
  <c r="D36" i="1"/>
  <c r="D40" i="1"/>
  <c r="D39" i="1"/>
  <c r="D41" i="1" l="1"/>
</calcChain>
</file>

<file path=xl/sharedStrings.xml><?xml version="1.0" encoding="utf-8"?>
<sst xmlns="http://schemas.openxmlformats.org/spreadsheetml/2006/main" count="69" uniqueCount="33">
  <si>
    <t>Quanto investir por mês?</t>
  </si>
  <si>
    <t>INVESTIMENTO MENSAL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</si>
  <si>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</si>
  <si>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</si>
  <si>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</si>
  <si>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</si>
  <si>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</si>
  <si>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</si>
  <si>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</si>
  <si>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</si>
  <si>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</si>
  <si>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</si>
  <si>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</si>
  <si>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CONFIGURAÇÕES</t>
  </si>
  <si>
    <t>Salário</t>
  </si>
  <si>
    <t>Rendimento Carteira</t>
  </si>
  <si>
    <t>Agressivo</t>
  </si>
  <si>
    <t>Conservador</t>
  </si>
  <si>
    <t>Moderado</t>
  </si>
  <si>
    <t>PERFIL</t>
  </si>
  <si>
    <t>VALOR A SER INVESTIDO POR MÊS</t>
  </si>
  <si>
    <t>TIPO DE FII</t>
  </si>
  <si>
    <t>Percentual Sugerido</t>
  </si>
  <si>
    <t>HÍBRIDOS</t>
  </si>
  <si>
    <t>PAPEL</t>
  </si>
  <si>
    <t>TIJOLO</t>
  </si>
  <si>
    <t>FOFS</t>
  </si>
  <si>
    <t>DESENVOLVIMENTO</t>
  </si>
  <si>
    <t>HOTELARIAS</t>
  </si>
  <si>
    <t>Valores</t>
  </si>
  <si>
    <t>CHAVE COMPOSTA</t>
  </si>
  <si>
    <t>% Sugerido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</si>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</sst>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3"/>
      <color rgb="FFF6FBF7"/>
      <name val="Calibri"/>
      <family val="2"/>
      <scheme val="minor"/>
    </font>
    <font>
      <b/>
      <sz val="11"/>
      <color rgb="FFF6FBF7"/>
      <name val="Calibri"/>
      <family val="2"/>
      <scheme val="minor"/>
    </font>
    <font>
      <b/>
      <sz val="13"/>
      <color rgb="FF0E3B2E"/>
      <name val="Calibri"/>
      <family val="2"/>
      <scheme val="minor"/>
    </font>
    <font>
      <sz val="13"/>
      <color rgb="FF0E3B2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6F5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B88A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E3B2E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5" xfId="0" applyBorder="1"/>
    <xf numFmtId="8" fontId="0" fillId="0" borderId="0" xfId="0" applyNumberFormat="1"/>
    <xf numFmtId="0" fontId="2" fillId="0" borderId="0" xfId="0" applyFont="1"/>
    <xf numFmtId="0" fontId="6" fillId="2" borderId="2" xfId="0" applyFont="1" applyFill="1" applyBorder="1" applyAlignment="1">
      <alignment horizontal="center" vertical="center"/>
    </xf>
    <xf numFmtId="164" fontId="0" fillId="0" borderId="0" xfId="0" applyNumberFormat="1"/>
    <xf numFmtId="8" fontId="4" fillId="3" borderId="12" xfId="0" applyNumberFormat="1" applyFont="1" applyFill="1" applyBorder="1" applyAlignment="1">
      <alignment horizontal="center"/>
    </xf>
    <xf numFmtId="8" fontId="4" fillId="3" borderId="13" xfId="0" applyNumberFormat="1" applyFont="1" applyFill="1" applyBorder="1" applyAlignment="1">
      <alignment horizontal="center"/>
    </xf>
    <xf numFmtId="8" fontId="4" fillId="3" borderId="15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left" indent="4"/>
    </xf>
    <xf numFmtId="0" fontId="4" fillId="3" borderId="18" xfId="0" applyFont="1" applyFill="1" applyBorder="1" applyAlignment="1">
      <alignment horizontal="left" indent="4"/>
    </xf>
    <xf numFmtId="0" fontId="4" fillId="3" borderId="19" xfId="0" applyFont="1" applyFill="1" applyBorder="1" applyAlignment="1">
      <alignment horizontal="left" indent="4"/>
    </xf>
    <xf numFmtId="8" fontId="4" fillId="3" borderId="9" xfId="0" applyNumberFormat="1" applyFont="1" applyFill="1" applyBorder="1" applyAlignment="1">
      <alignment horizontal="center"/>
    </xf>
    <xf numFmtId="8" fontId="4" fillId="3" borderId="11" xfId="0" applyNumberFormat="1" applyFont="1" applyFill="1" applyBorder="1" applyAlignment="1">
      <alignment horizontal="center"/>
    </xf>
    <xf numFmtId="8" fontId="4" fillId="3" borderId="14" xfId="0" applyNumberFormat="1" applyFont="1" applyFill="1" applyBorder="1" applyAlignment="1">
      <alignment horizontal="center"/>
    </xf>
    <xf numFmtId="0" fontId="5" fillId="3" borderId="18" xfId="0" applyFont="1" applyFill="1" applyBorder="1" applyAlignment="1">
      <alignment horizontal="left" indent="4"/>
    </xf>
    <xf numFmtId="0" fontId="5" fillId="3" borderId="19" xfId="0" applyFont="1" applyFill="1" applyBorder="1" applyAlignment="1">
      <alignment horizontal="left" indent="4"/>
    </xf>
    <xf numFmtId="0" fontId="5" fillId="3" borderId="21" xfId="0" applyFont="1" applyFill="1" applyBorder="1"/>
    <xf numFmtId="0" fontId="5" fillId="3" borderId="22" xfId="0" applyFont="1" applyFill="1" applyBorder="1"/>
    <xf numFmtId="0" fontId="5" fillId="0" borderId="13" xfId="0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8" fontId="5" fillId="3" borderId="13" xfId="0" applyNumberFormat="1" applyFont="1" applyFill="1" applyBorder="1" applyAlignment="1">
      <alignment horizontal="center"/>
    </xf>
    <xf numFmtId="8" fontId="5" fillId="3" borderId="15" xfId="0" applyNumberFormat="1" applyFont="1" applyFill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0" fontId="4" fillId="0" borderId="13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0" fontId="4" fillId="3" borderId="23" xfId="0" applyFont="1" applyFill="1" applyBorder="1"/>
    <xf numFmtId="0" fontId="4" fillId="3" borderId="21" xfId="0" applyFont="1" applyFill="1" applyBorder="1"/>
    <xf numFmtId="0" fontId="8" fillId="6" borderId="0" xfId="0" applyFont="1" applyFill="1"/>
    <xf numFmtId="0" fontId="8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0" fillId="2" borderId="0" xfId="0" applyFill="1"/>
    <xf numFmtId="9" fontId="0" fillId="0" borderId="0" xfId="0" applyNumberFormat="1" applyAlignment="1">
      <alignment horizontal="center"/>
    </xf>
    <xf numFmtId="164" fontId="9" fillId="2" borderId="0" xfId="0" applyNumberFormat="1" applyFont="1" applyFill="1" applyAlignment="1">
      <alignment horizontal="right"/>
    </xf>
    <xf numFmtId="0" fontId="4" fillId="0" borderId="16" xfId="0" applyFont="1" applyBorder="1"/>
    <xf numFmtId="0" fontId="4" fillId="0" borderId="16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10" fillId="3" borderId="0" xfId="0" applyFont="1" applyFill="1"/>
    <xf numFmtId="164" fontId="10" fillId="3" borderId="0" xfId="0" applyNumberFormat="1" applyFont="1" applyFill="1" applyAlignment="1">
      <alignment horizontal="center"/>
    </xf>
    <xf numFmtId="0" fontId="11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indent="4"/>
    </xf>
    <xf numFmtId="0" fontId="4" fillId="5" borderId="8" xfId="0" applyFont="1" applyFill="1" applyBorder="1" applyAlignment="1">
      <alignment horizontal="left" indent="4"/>
    </xf>
    <xf numFmtId="0" fontId="4" fillId="5" borderId="18" xfId="0" applyFont="1" applyFill="1" applyBorder="1" applyAlignment="1">
      <alignment horizontal="left" indent="4"/>
    </xf>
    <xf numFmtId="0" fontId="4" fillId="5" borderId="10" xfId="0" applyFont="1" applyFill="1" applyBorder="1" applyAlignment="1">
      <alignment horizontal="left" indent="4"/>
    </xf>
    <xf numFmtId="0" fontId="4" fillId="5" borderId="19" xfId="0" applyFont="1" applyFill="1" applyBorder="1" applyAlignment="1">
      <alignment horizontal="left" indent="4"/>
    </xf>
    <xf numFmtId="0" fontId="4" fillId="5" borderId="20" xfId="0" applyFont="1" applyFill="1" applyBorder="1" applyAlignment="1">
      <alignment horizontal="left" indent="4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E3B2E"/>
      <color rgb="FF1F6F54"/>
      <color rgb="FFF6FBF7"/>
      <color rgb="FFD7E7DD"/>
      <color rgb="FF5FB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1DD-4F85-B199-52CAD1B828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1DD-4F85-B199-52CAD1B828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B1DD-4F85-B199-52CAD1B828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1DD-4F85-B199-52CAD1B828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B1DD-4F85-B199-52CAD1B828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1DD-4F85-B199-52CAD1B828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1DD-4F85-B199-52CAD1B828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1DD-4F85-B199-52CAD1B828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1DD-4F85-B199-52CAD1B828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1DD-4F85-B199-52CAD1B828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B1DD-4F85-B199-52CAD1B828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1DD-4F85-B199-52CAD1B8287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0.38</c:v>
                </c:pt>
                <c:pt idx="1">
                  <c:v>0.2</c:v>
                </c:pt>
                <c:pt idx="2">
                  <c:v>0.05</c:v>
                </c:pt>
                <c:pt idx="3">
                  <c:v>0.1</c:v>
                </c:pt>
                <c:pt idx="4">
                  <c:v>0.17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D-4F85-B199-52CAD1B828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464993</xdr:colOff>
      <xdr:row>0</xdr:row>
      <xdr:rowOff>115165</xdr:rowOff>
    </xdr:from>
    <xdr:to>
      <xdr:col>4</xdr:col>
      <xdr:colOff>161925</xdr:colOff>
      <xdr:row>9</xdr:row>
      <xdr:rowOff>161284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4D46CE-4E48-46D5-B5A3-0DFFF9DA8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1"/>
        <a:stretch/>
      </xdr:blipFill>
      <xdr:spPr>
        <a:xfrm>
          <a:off x="464993" y="115165"/>
          <a:ext cx="7050232" cy="1760619"/>
        </a:xfrm>
        <a:prstGeom prst="roundRect">
          <a:avLst>
            <a:gd name="adj" fmla="val 6388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1152741</xdr:colOff>
      <xdr:row>41</xdr:row>
      <xdr:rowOff>111630</xdr:rowOff>
    </xdr:from>
    <xdr:to>
      <xdr:col>3</xdr:col>
      <xdr:colOff>278172</xdr:colOff>
      <xdr:row>55</xdr:row>
      <xdr:rowOff>187830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60B0AE-D67F-474F-9747-114D8FC94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E189-00BF-45B6-84E6-E90F5C4F5456}">
  <dimension ref="A1:H71"/>
  <sheetViews>
    <sheetView showGridLines="0" showRowColHeaders="0" tabSelected="1" zoomScale="55" zoomScaleNormal="55" workbookViewId="0">
      <selection activeCell="C31" sqref="C31"/>
    </sheetView>
  </sheetViews>
  <sheetFormatPr defaultColWidth="0" defaultRowHeight="15" zeroHeight="1" x14ac:dyDescent="0.25"/>
  <cols>
    <col min="1" max="1" width="9.140625" customWidth="1"/>
    <col min="2" max="2" width="55" customWidth="1"/>
    <col min="3" max="3" width="26.5703125" customWidth="1"/>
    <col min="4" max="4" width="19.5703125" customWidth="1"/>
    <col min="5" max="5" width="9.28515625" customWidth="1"/>
    <col min="6" max="6" width="5.28515625" hidden="1" customWidth="1"/>
    <col min="7" max="7" width="4.28515625" hidden="1" customWidth="1"/>
    <col min="8" max="8" width="4.7109375" hidden="1" customWidth="1"/>
    <col min="9" max="10" width="9.140625" hidden="1" customWidth="1"/>
    <col min="11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ht="15.75" thickBot="1" x14ac:dyDescent="0.3"/>
    <row r="12" spans="2:4" ht="23.25" x14ac:dyDescent="0.25">
      <c r="B12" s="55" t="s">
        <v>13</v>
      </c>
      <c r="C12" s="56"/>
      <c r="D12" s="57"/>
    </row>
    <row r="13" spans="2:4" ht="17.25" x14ac:dyDescent="0.3">
      <c r="B13" s="58" t="s">
        <v>14</v>
      </c>
      <c r="C13" s="59"/>
      <c r="D13" s="25">
        <v>5000</v>
      </c>
    </row>
    <row r="14" spans="2:4" ht="17.25" x14ac:dyDescent="0.3">
      <c r="B14" s="60" t="s">
        <v>15</v>
      </c>
      <c r="C14" s="61"/>
      <c r="D14" s="26">
        <v>6.0000000000000001E-3</v>
      </c>
    </row>
    <row r="15" spans="2:4" ht="18" thickBot="1" x14ac:dyDescent="0.35">
      <c r="B15" s="62" t="s">
        <v>32</v>
      </c>
      <c r="C15" s="63"/>
      <c r="D15" s="28">
        <f>D13*30%</f>
        <v>1500</v>
      </c>
    </row>
    <row r="16" spans="2:4" ht="15.75" thickBot="1" x14ac:dyDescent="0.3"/>
    <row r="17" spans="1:6" ht="26.25" x14ac:dyDescent="0.25">
      <c r="B17" s="52" t="s">
        <v>1</v>
      </c>
      <c r="C17" s="53"/>
      <c r="D17" s="54"/>
    </row>
    <row r="18" spans="1:6" ht="17.25" x14ac:dyDescent="0.3">
      <c r="B18" s="11" t="s">
        <v>0</v>
      </c>
      <c r="C18" s="29"/>
      <c r="D18" s="27">
        <v>1500</v>
      </c>
    </row>
    <row r="19" spans="1:6" ht="17.25" x14ac:dyDescent="0.3">
      <c r="B19" s="12" t="s">
        <v>2</v>
      </c>
      <c r="C19" s="30"/>
      <c r="D19" s="21">
        <v>5</v>
      </c>
    </row>
    <row r="20" spans="1:6" ht="17.25" x14ac:dyDescent="0.3">
      <c r="B20" s="12" t="s">
        <v>3</v>
      </c>
      <c r="C20" s="30"/>
      <c r="D20" s="22">
        <v>1.0789999999999999E-2</v>
      </c>
    </row>
    <row r="21" spans="1:6" ht="17.25" x14ac:dyDescent="0.3">
      <c r="B21" s="17" t="s">
        <v>4</v>
      </c>
      <c r="C21" s="19"/>
      <c r="D21" s="23">
        <f>FV(taxa_mensal,qtd_anos*12,aporte*-1)</f>
        <v>125665.37099773147</v>
      </c>
      <c r="F21" s="4"/>
    </row>
    <row r="22" spans="1:6" ht="18" thickBot="1" x14ac:dyDescent="0.35">
      <c r="B22" s="18" t="s">
        <v>5</v>
      </c>
      <c r="C22" s="20"/>
      <c r="D22" s="24">
        <f>patrimonio*rendimento_carteira</f>
        <v>753.9922259863888</v>
      </c>
    </row>
    <row r="23" spans="1:6" ht="15.75" thickBot="1" x14ac:dyDescent="0.3"/>
    <row r="24" spans="1:6" ht="26.25" x14ac:dyDescent="0.25">
      <c r="B24" s="52" t="s">
        <v>6</v>
      </c>
      <c r="C24" s="53"/>
      <c r="D24" s="6" t="s">
        <v>12</v>
      </c>
    </row>
    <row r="25" spans="1:6" ht="17.25" x14ac:dyDescent="0.3">
      <c r="A25" s="5">
        <v>2</v>
      </c>
      <c r="B25" s="11" t="s">
        <v>7</v>
      </c>
      <c r="C25" s="14">
        <f>FV($D$20,$A25*12,$D$18*-1)</f>
        <v>40841.440946467825</v>
      </c>
      <c r="D25" s="8">
        <f>C25*rendimento_carteira</f>
        <v>245.04864567880696</v>
      </c>
    </row>
    <row r="26" spans="1:6" ht="17.25" x14ac:dyDescent="0.3">
      <c r="A26" s="5">
        <v>5</v>
      </c>
      <c r="B26" s="12" t="s">
        <v>8</v>
      </c>
      <c r="C26" s="15">
        <f>FV($D$20,$A26*12,$D$18*-1)</f>
        <v>125665.37099773147</v>
      </c>
      <c r="D26" s="9">
        <f>C26*rendimento_carteira</f>
        <v>753.9922259863888</v>
      </c>
    </row>
    <row r="27" spans="1:6" ht="17.25" x14ac:dyDescent="0.3">
      <c r="A27" s="5">
        <v>10</v>
      </c>
      <c r="B27" s="12" t="s">
        <v>9</v>
      </c>
      <c r="C27" s="15">
        <f>FV($D$20,$A27*12,$D$18*-1)</f>
        <v>364926.3187952583</v>
      </c>
      <c r="D27" s="9">
        <f>C27*rendimento_carteira</f>
        <v>2189.55791277155</v>
      </c>
    </row>
    <row r="28" spans="1:6" ht="17.25" x14ac:dyDescent="0.3">
      <c r="A28" s="5">
        <v>20</v>
      </c>
      <c r="B28" s="12" t="s">
        <v>10</v>
      </c>
      <c r="C28" s="15">
        <f>FV($D$20,$A28*12,$D$18*-1)</f>
        <v>1687797.600145621</v>
      </c>
      <c r="D28" s="9">
        <f>C28*rendimento_carteira</f>
        <v>10126.785600873725</v>
      </c>
    </row>
    <row r="29" spans="1:6" ht="18" thickBot="1" x14ac:dyDescent="0.35">
      <c r="A29" s="5">
        <v>30</v>
      </c>
      <c r="B29" s="13" t="s">
        <v>11</v>
      </c>
      <c r="C29" s="16">
        <f>FV($D$20,$A29*12,$D$18*-1)</f>
        <v>6483254.4825070715</v>
      </c>
      <c r="D29" s="10">
        <f>C29*rendimento_carteira</f>
        <v>38899.526895042429</v>
      </c>
    </row>
    <row r="30" spans="1:6" x14ac:dyDescent="0.25"/>
    <row r="31" spans="1:6" ht="17.25" x14ac:dyDescent="0.3">
      <c r="B31" s="31" t="s">
        <v>19</v>
      </c>
      <c r="C31" s="32" t="s">
        <v>16</v>
      </c>
      <c r="D31" s="31"/>
    </row>
    <row r="32" spans="1:6" ht="17.25" x14ac:dyDescent="0.3">
      <c r="B32" s="49" t="s">
        <v>20</v>
      </c>
      <c r="C32" s="50">
        <f>aporte</f>
        <v>1500</v>
      </c>
      <c r="D32" s="51"/>
    </row>
    <row r="33" spans="2:4" x14ac:dyDescent="0.25"/>
    <row r="34" spans="2:4" ht="17.25" x14ac:dyDescent="0.3">
      <c r="B34" s="33" t="s">
        <v>21</v>
      </c>
      <c r="C34" s="34" t="s">
        <v>22</v>
      </c>
      <c r="D34" s="33" t="s">
        <v>29</v>
      </c>
    </row>
    <row r="35" spans="2:4" x14ac:dyDescent="0.25">
      <c r="B35" s="1" t="s">
        <v>24</v>
      </c>
      <c r="C35" s="36">
        <f>VLOOKUP($C$31&amp;"-"&amp;B35,'Tabela de Apoio'!$C:$F,4,0)</f>
        <v>0.38</v>
      </c>
      <c r="D35" s="7">
        <f>C35*$C$32</f>
        <v>570</v>
      </c>
    </row>
    <row r="36" spans="2:4" x14ac:dyDescent="0.25">
      <c r="B36" s="1" t="s">
        <v>25</v>
      </c>
      <c r="C36" s="36">
        <f>VLOOKUP($C$31&amp;"-"&amp;B36,'Tabela de Apoio'!$C:$F,4,0)</f>
        <v>0.2</v>
      </c>
      <c r="D36" s="7">
        <f t="shared" ref="D36:D40" si="0">C36*$C$32</f>
        <v>300</v>
      </c>
    </row>
    <row r="37" spans="2:4" x14ac:dyDescent="0.25">
      <c r="B37" s="1" t="s">
        <v>23</v>
      </c>
      <c r="C37" s="36">
        <f>VLOOKUP($C$31&amp;"-"&amp;B37,'Tabela de Apoio'!$C:$F,4,0)</f>
        <v>0.05</v>
      </c>
      <c r="D37" s="7">
        <f t="shared" si="0"/>
        <v>75</v>
      </c>
    </row>
    <row r="38" spans="2:4" x14ac:dyDescent="0.25">
      <c r="B38" s="1" t="s">
        <v>26</v>
      </c>
      <c r="C38" s="36">
        <f>VLOOKUP($C$31&amp;"-"&amp;B38,'Tabela de Apoio'!$C:$F,4,0)</f>
        <v>0.1</v>
      </c>
      <c r="D38" s="7">
        <f t="shared" si="0"/>
        <v>150</v>
      </c>
    </row>
    <row r="39" spans="2:4" x14ac:dyDescent="0.25">
      <c r="B39" s="1" t="s">
        <v>27</v>
      </c>
      <c r="C39" s="36">
        <f>VLOOKUP($C$31&amp;"-"&amp;B39,'Tabela de Apoio'!$C:$F,4,0)</f>
        <v>0.17</v>
      </c>
      <c r="D39" s="7">
        <f t="shared" si="0"/>
        <v>255.00000000000003</v>
      </c>
    </row>
    <row r="40" spans="2:4" x14ac:dyDescent="0.25">
      <c r="B40" s="1" t="s">
        <v>28</v>
      </c>
      <c r="C40" s="36">
        <f>VLOOKUP($C$31&amp;"-"&amp;B40,'Tabela de Apoio'!$C:$F,4,0)</f>
        <v>0.1</v>
      </c>
      <c r="D40" s="7">
        <f t="shared" si="0"/>
        <v>150</v>
      </c>
    </row>
    <row r="41" spans="2:4" x14ac:dyDescent="0.25">
      <c r="B41" s="35"/>
      <c r="C41" s="35"/>
      <c r="D41" s="37">
        <f>SUM(D35:D40)</f>
        <v>1500</v>
      </c>
    </row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</sheetData>
  <mergeCells count="6">
    <mergeCell ref="B24:C24"/>
    <mergeCell ref="B17:D17"/>
    <mergeCell ref="B12:D12"/>
    <mergeCell ref="B13:C13"/>
    <mergeCell ref="B14:C14"/>
    <mergeCell ref="B15:C15"/>
  </mergeCells>
  <dataValidations count="1">
    <dataValidation type="list" allowBlank="1" showInputMessage="1" showErrorMessage="1" sqref="C31" xr:uid="{78C3CC16-9475-4807-8CB6-950846FE8F5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5BE7-8480-4C97-8016-8E76C1355F04}">
  <dimension ref="C3:F22"/>
  <sheetViews>
    <sheetView workbookViewId="0">
      <selection activeCell="H21" sqref="H21"/>
    </sheetView>
  </sheetViews>
  <sheetFormatPr defaultRowHeight="15" x14ac:dyDescent="0.25"/>
  <cols>
    <col min="3" max="3" width="20.85546875" bestFit="1" customWidth="1"/>
    <col min="4" max="4" width="14" bestFit="1" customWidth="1"/>
    <col min="5" max="5" width="21.7109375" bestFit="1" customWidth="1"/>
    <col min="6" max="6" width="12.42578125" style="1" bestFit="1" customWidth="1"/>
  </cols>
  <sheetData>
    <row r="3" spans="3:6" ht="15.75" thickBot="1" x14ac:dyDescent="0.3"/>
    <row r="4" spans="3:6" ht="17.25" x14ac:dyDescent="0.3">
      <c r="C4" s="40" t="s">
        <v>30</v>
      </c>
      <c r="D4" s="41" t="s">
        <v>19</v>
      </c>
      <c r="E4" s="41" t="s">
        <v>21</v>
      </c>
      <c r="F4" s="42" t="s">
        <v>31</v>
      </c>
    </row>
    <row r="5" spans="3:6" ht="17.25" x14ac:dyDescent="0.3">
      <c r="C5" s="2" t="str">
        <f>D5&amp;"-"&amp;E5</f>
        <v>Conservador-PAPEL</v>
      </c>
      <c r="D5" s="43" t="s">
        <v>17</v>
      </c>
      <c r="E5" s="44" t="s">
        <v>24</v>
      </c>
      <c r="F5" s="45">
        <v>0.25</v>
      </c>
    </row>
    <row r="6" spans="3:6" ht="17.25" x14ac:dyDescent="0.3">
      <c r="C6" s="2" t="str">
        <f t="shared" ref="C6:C22" si="0">D6&amp;"-"&amp;E6</f>
        <v>Conservador-TIJOLO</v>
      </c>
      <c r="D6" s="43" t="s">
        <v>17</v>
      </c>
      <c r="E6" s="44" t="s">
        <v>25</v>
      </c>
      <c r="F6" s="45">
        <v>0.55000000000000004</v>
      </c>
    </row>
    <row r="7" spans="3:6" ht="17.25" x14ac:dyDescent="0.3">
      <c r="C7" s="2" t="str">
        <f t="shared" si="0"/>
        <v>Conservador-HÍBRIDOS</v>
      </c>
      <c r="D7" s="43" t="s">
        <v>17</v>
      </c>
      <c r="E7" s="44" t="s">
        <v>23</v>
      </c>
      <c r="F7" s="45">
        <v>0.1</v>
      </c>
    </row>
    <row r="8" spans="3:6" ht="17.25" x14ac:dyDescent="0.3">
      <c r="C8" s="2" t="str">
        <f t="shared" si="0"/>
        <v>Conservador-FOFS</v>
      </c>
      <c r="D8" s="43" t="s">
        <v>17</v>
      </c>
      <c r="E8" s="44" t="s">
        <v>26</v>
      </c>
      <c r="F8" s="45">
        <v>0.1</v>
      </c>
    </row>
    <row r="9" spans="3:6" ht="17.25" x14ac:dyDescent="0.3">
      <c r="C9" s="2" t="str">
        <f t="shared" si="0"/>
        <v>Conservador-DESENVOLVIMENTO</v>
      </c>
      <c r="D9" s="43" t="s">
        <v>17</v>
      </c>
      <c r="E9" s="44" t="s">
        <v>27</v>
      </c>
      <c r="F9" s="45">
        <v>0</v>
      </c>
    </row>
    <row r="10" spans="3:6" ht="18" thickBot="1" x14ac:dyDescent="0.35">
      <c r="C10" s="3" t="str">
        <f t="shared" si="0"/>
        <v>Conservador-HOTELARIAS</v>
      </c>
      <c r="D10" s="38" t="s">
        <v>17</v>
      </c>
      <c r="E10" s="39" t="s">
        <v>28</v>
      </c>
      <c r="F10" s="46">
        <v>0</v>
      </c>
    </row>
    <row r="11" spans="3:6" ht="17.25" x14ac:dyDescent="0.3">
      <c r="C11" s="2" t="str">
        <f t="shared" si="0"/>
        <v>Moderado-PAPEL</v>
      </c>
      <c r="D11" s="43" t="s">
        <v>18</v>
      </c>
      <c r="E11" s="44" t="s">
        <v>24</v>
      </c>
      <c r="F11" s="45">
        <v>0.35</v>
      </c>
    </row>
    <row r="12" spans="3:6" ht="17.25" x14ac:dyDescent="0.3">
      <c r="C12" s="2" t="str">
        <f t="shared" si="0"/>
        <v>Moderado-TIJOLO</v>
      </c>
      <c r="D12" s="43" t="s">
        <v>18</v>
      </c>
      <c r="E12" s="44" t="s">
        <v>25</v>
      </c>
      <c r="F12" s="45">
        <v>0.35</v>
      </c>
    </row>
    <row r="13" spans="3:6" ht="17.25" x14ac:dyDescent="0.3">
      <c r="C13" s="2" t="str">
        <f t="shared" si="0"/>
        <v>Moderado-HÍBRIDOS</v>
      </c>
      <c r="D13" s="43" t="s">
        <v>18</v>
      </c>
      <c r="E13" s="44" t="s">
        <v>23</v>
      </c>
      <c r="F13" s="45">
        <v>0.08</v>
      </c>
    </row>
    <row r="14" spans="3:6" ht="17.25" x14ac:dyDescent="0.3">
      <c r="C14" s="2" t="str">
        <f t="shared" si="0"/>
        <v>Moderado-FOFS</v>
      </c>
      <c r="D14" s="43" t="s">
        <v>18</v>
      </c>
      <c r="E14" s="44" t="s">
        <v>26</v>
      </c>
      <c r="F14" s="45">
        <v>0.05</v>
      </c>
    </row>
    <row r="15" spans="3:6" ht="17.25" x14ac:dyDescent="0.3">
      <c r="C15" s="2" t="str">
        <f t="shared" si="0"/>
        <v>Moderado-DESENVOLVIMENTO</v>
      </c>
      <c r="D15" s="43" t="s">
        <v>18</v>
      </c>
      <c r="E15" s="44" t="s">
        <v>27</v>
      </c>
      <c r="F15" s="45">
        <v>0.1</v>
      </c>
    </row>
    <row r="16" spans="3:6" ht="18" thickBot="1" x14ac:dyDescent="0.35">
      <c r="C16" s="3" t="str">
        <f t="shared" si="0"/>
        <v>Moderado-HOTELARIAS</v>
      </c>
      <c r="D16" s="38" t="s">
        <v>18</v>
      </c>
      <c r="E16" s="39" t="s">
        <v>28</v>
      </c>
      <c r="F16" s="46">
        <v>7.0000000000000007E-2</v>
      </c>
    </row>
    <row r="17" spans="3:6" ht="17.25" x14ac:dyDescent="0.3">
      <c r="C17" s="2" t="str">
        <f t="shared" si="0"/>
        <v>Agressivo-PAPEL</v>
      </c>
      <c r="D17" s="43" t="s">
        <v>16</v>
      </c>
      <c r="E17" s="44" t="s">
        <v>24</v>
      </c>
      <c r="F17" s="47">
        <v>0.38</v>
      </c>
    </row>
    <row r="18" spans="3:6" ht="17.25" x14ac:dyDescent="0.3">
      <c r="C18" s="2" t="str">
        <f t="shared" si="0"/>
        <v>Agressivo-TIJOLO</v>
      </c>
      <c r="D18" s="43" t="s">
        <v>16</v>
      </c>
      <c r="E18" s="44" t="s">
        <v>25</v>
      </c>
      <c r="F18" s="47">
        <v>0.2</v>
      </c>
    </row>
    <row r="19" spans="3:6" ht="17.25" x14ac:dyDescent="0.3">
      <c r="C19" s="2" t="str">
        <f t="shared" si="0"/>
        <v>Agressivo-HÍBRIDOS</v>
      </c>
      <c r="D19" s="43" t="s">
        <v>16</v>
      </c>
      <c r="E19" s="44" t="s">
        <v>23</v>
      </c>
      <c r="F19" s="47">
        <v>0.05</v>
      </c>
    </row>
    <row r="20" spans="3:6" ht="17.25" x14ac:dyDescent="0.3">
      <c r="C20" s="2" t="str">
        <f t="shared" si="0"/>
        <v>Agressivo-FOFS</v>
      </c>
      <c r="D20" s="43" t="s">
        <v>16</v>
      </c>
      <c r="E20" s="44" t="s">
        <v>26</v>
      </c>
      <c r="F20" s="47">
        <v>0.1</v>
      </c>
    </row>
    <row r="21" spans="3:6" ht="17.25" x14ac:dyDescent="0.3">
      <c r="C21" s="2" t="str">
        <f t="shared" si="0"/>
        <v>Agressivo-DESENVOLVIMENTO</v>
      </c>
      <c r="D21" s="43" t="s">
        <v>16</v>
      </c>
      <c r="E21" s="44" t="s">
        <v>27</v>
      </c>
      <c r="F21" s="47">
        <v>0.17</v>
      </c>
    </row>
    <row r="22" spans="3:6" ht="18" thickBot="1" x14ac:dyDescent="0.35">
      <c r="C22" s="3" t="str">
        <f t="shared" si="0"/>
        <v>Agressivo-HOTELARIAS</v>
      </c>
      <c r="D22" s="38" t="s">
        <v>16</v>
      </c>
      <c r="E22" s="39" t="s">
        <v>28</v>
      </c>
      <c r="F22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Tabela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RICK</cp:lastModifiedBy>
  <dcterms:created xsi:type="dcterms:W3CDTF">2026-10-17T09:56:28Z</dcterms:created>
  <dcterms:modified xsi:type="dcterms:W3CDTF">2026-10-19T01:15:00Z</dcterms:modified>
</cp:coreProperties>
</file>